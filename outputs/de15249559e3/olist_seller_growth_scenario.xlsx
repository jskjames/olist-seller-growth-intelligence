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487707d6d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odel" sheetId="1" r:id="R3b56d95b2df14330"/>
    <x:sheet xmlns:r="http://schemas.openxmlformats.org/officeDocument/2006/relationships" name="Observed data" sheetId="2" r:id="Rbef83fc7c9a6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&quot;R$&quot;#,##0"/>
    <x:numFmt numFmtId="202" formatCode="&quot;R$&quot;#,##0;(&quot;R$&quot;#,##0);-"/>
    <x:numFmt numFmtId="203" formatCode="#,##0.0"/>
    <x:numFmt numFmtId="204" formatCode="#,##0"/>
  </x:numFmts>
  <x:fonts count="8">
    <x:font>
      <x:sz val="11"/>
      <x:name val="Carlito"/>
    </x:font>
    <x:font>
      <x:sz val="10"/>
      <x:color rgb="FF20312D"/>
      <x:name val="Arial"/>
    </x:font>
    <x:font>
      <x:b/>
      <x:sz val="15"/>
      <x:color rgb="FF142E2C"/>
      <x:name val="Arial"/>
    </x:font>
    <x:font>
      <x:b/>
      <x:sz val="10"/>
      <x:color rgb="FFFFFFFF"/>
      <x:name val="Arial"/>
    </x:font>
    <x:font>
      <x:b/>
      <x:sz val="10"/>
      <x:color rgb="FF245AB4"/>
      <x:name val="Arial"/>
    </x:font>
    <x:font>
      <x:b/>
      <x:sz val="11"/>
      <x:color rgb="FF194C42"/>
      <x:name val="Arial"/>
    </x:font>
    <x:font>
      <x:i/>
      <x:sz val="9"/>
      <x:color rgb="FF68746E"/>
      <x:name val="Arial"/>
    </x:font>
    <x:font>
      <x:sz val="9"/>
      <x:color rgb="FF5B71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5F56"/>
      </x:patternFill>
    </x:fill>
    <x:fill>
      <x:patternFill patternType="solid">
        <x:fgColor rgb="FFFFF0D2"/>
      </x:patternFill>
    </x:fill>
    <x:fill>
      <x:patternFill patternType="solid">
        <x:fgColor rgb="FFE7F0E9"/>
      </x:patternFill>
    </x:fill>
  </x:fills>
  <x:borders count="2">
    <x:border/>
    <x:border>
      <x:bottom style="thin">
        <x:color rgb="FF1A665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201" fontId="4" fillId="3" borderId="0" xfId="0" applyNumberFormat="1" applyFont="1" applyFill="1" applyBorder="1"/>
    <x:xf numFmtId="202" fontId="1" fillId="0" borderId="0" xfId="0" applyNumberFormat="1" applyFont="1" applyFill="1" applyBorder="1"/>
    <x:xf numFmtId="202" fontId="5" fillId="4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c854cd8e248e8" /><Relationship Type="http://schemas.openxmlformats.org/officeDocument/2006/relationships/theme" Target="/xl/theme/theme1.xml" Id="R26d2741ebe454be1" /><Relationship Type="http://schemas.openxmlformats.org/officeDocument/2006/relationships/sharedStrings" Target="/xl/sharedStrings.xml" Id="R645b060810e245ff" /><Relationship Type="http://schemas.openxmlformats.org/officeDocument/2006/relationships/worksheet" Target="/xl/worksheets/sheet1.xml" Id="R3b56d95b2df14330" /><Relationship Type="http://schemas.openxmlformats.org/officeDocument/2006/relationships/worksheet" Target="/xl/worksheets/sheet2.xml" Id="Rbef83fc7c9a646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F56"/>
  </x:sheetPr>
  <x:sheetViews>
    <x:sheetView showGridLines="0" workbookViewId="0"/>
  </x:sheetViews>
  <x:sheetFormatPr defaultRowHeight="15"/>
  <x:cols>
    <x:col min="1" max="1" width="37" hidden="0" customWidth="1"/>
    <x:col min="2" max="2" width="25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2" customHeight="1">
      <x:c r="A2" s="2" t="str">
        <x:v>Seller acquisition decision model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/>
      <x:c r="B3" s="3"/>
      <x:c r="C3" s="1"/>
      <x:c r="D3" s="1"/>
      <x:c r="E3" s="1"/>
      <x:c r="F3" s="1"/>
      <x:c r="G3" s="1"/>
      <x:c r="H3" s="1"/>
      <x:c r="I3" s="1"/>
    </x:row>
    <x:row r="4" ht="22" customHeight="1">
      <x:c r="A4" s="5" t="str">
        <x:v>Observed channel profile</x:v>
      </x:c>
      <x:c r="B4" s="5"/>
      <x:c r="C4" s="1"/>
      <x:c r="D4" s="1"/>
      <x:c r="E4" s="1"/>
      <x:c r="F4" s="1"/>
      <x:c r="G4" s="1"/>
      <x:c r="H4" s="1"/>
      <x:c r="I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2" customHeight="1">
      <x:c r="A6" s="1" t="str">
        <x:v>Channel ID (1 paid, 2 organic, 3 social)</x:v>
      </x:c>
      <x:c r="B6" s="7" t="n">
        <x:v>1</x:v>
      </x:c>
      <x:c r="C6" s="1"/>
      <x:c r="D6" s="1"/>
      <x:c r="E6" s="1"/>
      <x:c r="F6" s="1"/>
      <x:c r="G6" s="1"/>
      <x:c r="H6" s="1"/>
      <x:c r="I6" s="1"/>
    </x:row>
    <x:row r="7" ht="22" customHeight="1">
      <x:c r="A7" s="1" t="str">
        <x:v>Selected channel</x:v>
      </x:c>
      <x:c r="B7" s="1" t="str">
        <x:f>INDEX('Observed data'!$B$7:$B$9,MATCH(B6,'Observed data'!$A$7:$A$9,0))</x:f>
        <x:v>paid search</x:v>
      </x:c>
      <x:c r="C7" s="1"/>
      <x:c r="D7" s="1"/>
      <x:c r="E7" s="1"/>
      <x:c r="F7" s="1"/>
      <x:c r="G7" s="1"/>
      <x:c r="H7" s="1"/>
      <x:c r="I7" s="1"/>
    </x:row>
    <x:row r="8" ht="22" customHeight="1">
      <x:c r="A8" s="1" t="str">
        <x:v>Observed 90-day lead conversion</x:v>
      </x:c>
      <x:c r="B8" s="11" t="n">
        <x:f>INDEX('Observed data'!$E$7:$E$9,MATCH(B6,'Observed data'!$A$7:$A$9,0))</x:f>
        <x:v>0.09458</x:v>
      </x:c>
      <x:c r="C8" s="1"/>
      <x:c r="D8" s="1"/>
      <x:c r="E8" s="1"/>
      <x:c r="F8" s="1"/>
      <x:c r="G8" s="1"/>
      <x:c r="H8" s="1"/>
      <x:c r="I8" s="1"/>
    </x:row>
    <x:row r="9" ht="22" customHeight="1">
      <x:c r="A9" s="1" t="str">
        <x:v>Matured seller wins</x:v>
      </x:c>
      <x:c r="B9" s="1" t="n">
        <x:f>INDEX('Observed data'!$F$7:$F$9,MATCH(B6,'Observed data'!$A$7:$A$9,0))</x:f>
        <x:v>134</x:v>
      </x:c>
      <x:c r="C9" s="1"/>
      <x:c r="D9" s="1"/>
      <x:c r="E9" s="1"/>
      <x:c r="F9" s="1"/>
      <x:c r="G9" s="1"/>
      <x:c r="H9" s="1"/>
      <x:c r="I9" s="1"/>
    </x:row>
    <x:row r="10" ht="22" customHeight="1">
      <x:c r="A10" s="1" t="str">
        <x:v>Observed 90-day GMV / won seller (BRL)</x:v>
      </x:c>
      <x:c r="B10" s="13" t="n">
        <x:f>INDEX('Observed data'!$H$7:$H$9,MATCH(B6,'Observed data'!$A$7:$A$9,0))</x:f>
        <x:v>534.34254</x:v>
      </x:c>
      <x:c r="C10" s="1"/>
      <x:c r="D10" s="1"/>
      <x:c r="E10" s="1"/>
      <x:c r="F10" s="1"/>
      <x:c r="G10" s="1"/>
      <x:c r="H10" s="1"/>
      <x:c r="I10" s="1"/>
    </x:row>
    <x:row r="11" ht="22" customHeight="1">
      <x:c r="A11" s="1" t="str">
        <x:v>Seller share with recorded sale</x:v>
      </x:c>
      <x:c r="B11" s="11" t="n">
        <x:f>INDEX('Observed data'!$I$7:$I$9,MATCH(B6,'Observed data'!$A$7:$A$9,0))</x:f>
        <x:v>0.54478</x:v>
      </x:c>
      <x:c r="C11" s="1"/>
      <x:c r="D11" s="1"/>
      <x:c r="E11" s="1"/>
      <x:c r="F11" s="1"/>
      <x:c r="G11" s="1"/>
      <x:c r="H11" s="1"/>
      <x:c r="I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22" customHeight="1">
      <x:c r="A13" s="5" t="str">
        <x:v>Planning assumptions</x:v>
      </x:c>
      <x:c r="B13" s="5"/>
      <x:c r="C13" s="1"/>
      <x:c r="D13" s="1"/>
      <x:c r="E13" s="1"/>
      <x:c r="F13" s="1"/>
      <x:c r="G13" s="1"/>
      <x:c r="H13" s="1"/>
      <x:c r="I13" s="1"/>
    </x:row>
    <x:row r="14" ht="22" customHeight="1">
      <x:c r="A14" s="1" t="str">
        <x:v>Additional qualified seller leads</x:v>
      </x:c>
      <x:c r="B14" s="7" t="n">
        <x:v>1000</x:v>
      </x:c>
      <x:c r="C14" s="1"/>
      <x:c r="D14" s="1"/>
      <x:c r="E14" s="1"/>
      <x:c r="F14" s="1"/>
      <x:c r="G14" s="1"/>
      <x:c r="H14" s="1"/>
      <x:c r="I14" s="1"/>
    </x:row>
    <x:row r="15" ht="22" customHeight="1">
      <x:c r="A15" s="1" t="str">
        <x:v>Win-rate change (percentage points)</x:v>
      </x:c>
      <x:c r="B15" s="12" t="n">
        <x:v>0.01</x:v>
      </x:c>
      <x:c r="C15" s="1"/>
      <x:c r="D15" s="1"/>
      <x:c r="E15" s="1"/>
      <x:c r="F15" s="1"/>
      <x:c r="G15" s="1"/>
      <x:c r="H15" s="1"/>
      <x:c r="I15" s="1"/>
    </x:row>
    <x:row r="16" ht="22" customHeight="1">
      <x:c r="A16" s="1" t="str">
        <x:v>Assumed marketplace fee rate</x:v>
      </x:c>
      <x:c r="B16" s="12" t="n">
        <x:v>0.12</x:v>
      </x:c>
      <x:c r="C16" s="1"/>
      <x:c r="D16" s="1"/>
      <x:c r="E16" s="1"/>
      <x:c r="F16" s="1"/>
      <x:c r="G16" s="1"/>
      <x:c r="H16" s="1"/>
      <x:c r="I16" s="1"/>
    </x:row>
    <x:row r="17" ht="22" customHeight="1">
      <x:c r="A17" s="1" t="str">
        <x:v>Additional program cost (BRL)</x:v>
      </x:c>
      <x:c r="B17" s="14" t="n">
        <x:v>10000</x:v>
      </x:c>
      <x:c r="C17" s="1"/>
      <x:c r="D17" s="1"/>
      <x:c r="E17" s="1"/>
      <x:c r="F17" s="1"/>
      <x:c r="G17" s="1"/>
      <x:c r="H17" s="1"/>
      <x:c r="I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2" customHeight="1">
      <x:c r="A19" s="5" t="str">
        <x:v>Scenario calculations</x:v>
      </x:c>
      <x:c r="B19" s="5"/>
      <x:c r="C19" s="1"/>
      <x:c r="D19" s="1"/>
      <x:c r="E19" s="1"/>
      <x:c r="F19" s="1"/>
      <x:c r="G19" s="1"/>
      <x:c r="H19" s="1"/>
      <x:c r="I19" s="1"/>
    </x:row>
    <x:row r="20" ht="22" customHeight="1">
      <x:c r="A20" s="1" t="str">
        <x:v>Expected seller wins at adjusted rate</x:v>
      </x:c>
      <x:c r="B20" s="17" t="n">
        <x:f>B14*MAX(0,MIN(1,B8+B15))</x:f>
        <x:v>104.58</x:v>
      </x:c>
      <x:c r="C20" s="1"/>
      <x:c r="D20" s="1"/>
      <x:c r="E20" s="1"/>
      <x:c r="F20" s="1"/>
      <x:c r="G20" s="1"/>
      <x:c r="H20" s="1"/>
      <x:c r="I20" s="1"/>
    </x:row>
    <x:row r="21" ht="22" customHeight="1">
      <x:c r="A21" s="1" t="str">
        <x:v>Indicative 90-day item GMV (BRL)</x:v>
      </x:c>
      <x:c r="B21" s="15" t="n">
        <x:f>B20*B10</x:f>
        <x:v>55881.5428332</x:v>
      </x:c>
      <x:c r="C21" s="1"/>
      <x:c r="D21" s="1"/>
      <x:c r="E21" s="1"/>
      <x:c r="F21" s="1"/>
      <x:c r="G21" s="1"/>
      <x:c r="H21" s="1"/>
      <x:c r="I21" s="1"/>
    </x:row>
    <x:row r="22" ht="22" customHeight="1">
      <x:c r="A22" s="1" t="str">
        <x:v>Indicative marketplace fee revenue (BRL)</x:v>
      </x:c>
      <x:c r="B22" s="15" t="n">
        <x:f>B21*B16</x:f>
        <x:v>6705.785139984</x:v>
      </x:c>
      <x:c r="C22" s="1"/>
      <x:c r="D22" s="1"/>
      <x:c r="E22" s="1"/>
      <x:c r="F22" s="1"/>
      <x:c r="G22" s="1"/>
      <x:c r="H22" s="1"/>
      <x:c r="I22" s="1"/>
    </x:row>
    <x:row r="23" ht="22" customHeight="1">
      <x:c r="A23" s="9" t="str">
        <x:v>Fee revenue less program cost (BRL)</x:v>
      </x:c>
      <x:c r="B23" s="16" t="n">
        <x:f>B22-B17</x:f>
        <x:v>-3294.214860016</x:v>
      </x:c>
      <x:c r="C23" s="1"/>
      <x:c r="D23" s="1"/>
      <x:c r="E23" s="1"/>
      <x:c r="F23" s="1"/>
      <x:c r="G23" s="1"/>
      <x:c r="H23" s="1"/>
      <x:c r="I23" s="1"/>
    </x:row>
    <x:row r="24" ht="22" customHeight="1">
      <x:c r="A24" s="1" t="str">
        <x:v>Fee revenue from assumed rate change (BRL)</x:v>
      </x:c>
      <x:c r="B24" s="15" t="n">
        <x:f>B14*B15*B10*B16</x:f>
        <x:v>641.211048</x:v>
      </x:c>
      <x:c r="C24" s="1"/>
      <x:c r="D24" s="1"/>
      <x:c r="E24" s="1"/>
      <x:c r="F24" s="1"/>
      <x:c r="G24" s="1"/>
      <x:c r="H24" s="1"/>
      <x:c r="I24" s="1"/>
    </x:row>
    <x:row r="25" ht="22" customHeight="1">
      <x:c r="A25" s="1" t="str">
        <x:v>Leads required to cover program cost</x:v>
      </x:c>
      <x:c r="B25" s="18" t="n">
        <x:f>IF(OR(B8+B15&lt;=0,B10&lt;=0,B16&lt;=0),"n.a.",B17/((B8+B15)*B10*B16))</x:f>
        <x:v>1491.2496883286453</x:v>
      </x:c>
      <x:c r="C25" s="1"/>
      <x:c r="D25" s="1"/>
      <x:c r="E25" s="1"/>
      <x:c r="F25" s="1"/>
      <x:c r="G25" s="1"/>
      <x:c r="H25" s="1"/>
      <x:c r="I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2" customHeight="1">
      <x:c r="A27" s="1" t="str">
        <x:v>Interpretation</x:v>
      </x:c>
      <x:c r="B27" s="1"/>
      <x:c r="C27" s="1"/>
      <x:c r="D27" s="1"/>
      <x:c r="E27" s="1"/>
      <x:c r="F27" s="1"/>
      <x:c r="G27" s="1"/>
      <x:c r="H27" s="1"/>
      <x:c r="I27" s="1"/>
    </x:row>
    <x:row r="28" ht="22" customHeight="1">
      <x:c r="A28" s="10" t="str">
        <x:v>A planning scenario, not an Olist forecast or realized profit.</x:v>
      </x:c>
      <x:c r="B28" s="1"/>
      <x:c r="C28" s="1"/>
      <x:c r="D28" s="1"/>
      <x:c r="E28" s="1"/>
      <x:c r="F28" s="1"/>
      <x:c r="G28" s="1"/>
      <x:c r="H28" s="1"/>
      <x:c r="I28" s="1"/>
    </x:row>
    <x:row r="29" ht="22" customHeight="1">
      <x:c r="A29" s="10" t="str">
        <x:v>Item GMV is observed delivered-item price only. Actual fee, spend, margin,</x:v>
      </x:c>
      <x:c r="B29" s="1"/>
      <x:c r="C29" s="1"/>
      <x:c r="D29" s="1"/>
      <x:c r="E29" s="1"/>
      <x:c r="F29" s="1"/>
      <x:c r="G29" s="1"/>
      <x:c r="H29" s="1"/>
      <x:c r="I29" s="1"/>
    </x:row>
    <x:row r="30" ht="22" customHeight="1">
      <x:c r="A30" s="10" t="str">
        <x:v>seller mix and incremental conversion effect are not in the public data.</x:v>
      </x:c>
      <x:c r="B30" s="1"/>
      <x:c r="C30" s="1"/>
      <x:c r="D30" s="1"/>
      <x:c r="E30" s="1"/>
      <x:c r="F30" s="1"/>
      <x:c r="G30" s="1"/>
      <x:c r="H30" s="1"/>
      <x:c r="I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dataValidations count="1">
    <x:dataValidation type="list" sqref="B6">
      <x:formula1>"1,2,3"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2B8AA"/>
  </x:sheetPr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2" customHeight="1">
      <x:c r="A2" s="2" t="str">
        <x:v>Observed Olist acquisition cohorts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2" customHeight="1">
      <x:c r="A4" s="10" t="str">
        <x:v>Two linked extracts · 90-day, fully observable windows · BRL</x:v>
      </x:c>
      <x:c r="B4" s="1"/>
      <x:c r="C4" s="1"/>
      <x:c r="D4" s="1"/>
      <x:c r="E4" s="1"/>
      <x:c r="F4" s="1"/>
      <x:c r="G4" s="1"/>
      <x:c r="H4" s="1"/>
      <x:c r="I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38" customHeight="1">
      <x:c r="A6" s="19" t="str">
        <x:v>ID</x:v>
      </x:c>
      <x:c r="B6" s="19" t="str">
        <x:v>Channel</x:v>
      </x:c>
      <x:c r="C6" s="19" t="str">
        <x:v>Eligible MQLs</x:v>
      </x:c>
      <x:c r="D6" s="19" t="str">
        <x:v>90-day wins</x:v>
      </x:c>
      <x:c r="E6" s="19" t="str">
        <x:v>90-day conversion</x:v>
      </x:c>
      <x:c r="F6" s="19" t="str">
        <x:v>Matured wins</x:v>
      </x:c>
      <x:c r="G6" s="19" t="str">
        <x:v>Recorded 90-day GMV</x:v>
      </x:c>
      <x:c r="H6" s="19" t="str">
        <x:v>Mean GMV per win</x:v>
      </x:c>
      <x:c r="I6" s="19" t="str">
        <x:v>Recorded-sale share</x:v>
      </x:c>
    </x:row>
    <x:row r="7" ht="22" customHeight="1">
      <x:c r="A7" s="1" t="n">
        <x:v>1</x:v>
      </x:c>
      <x:c r="B7" s="1" t="str">
        <x:v>paid search</x:v>
      </x:c>
      <x:c r="C7" s="18" t="n">
        <x:v>1586</x:v>
      </x:c>
      <x:c r="D7" s="18" t="n">
        <x:v>150</x:v>
      </x:c>
      <x:c r="E7" s="11" t="n">
        <x:v>0.09458</x:v>
      </x:c>
      <x:c r="F7" s="18" t="n">
        <x:v>134</x:v>
      </x:c>
      <x:c r="G7" s="13" t="n">
        <x:v>71601.9</x:v>
      </x:c>
      <x:c r="H7" s="13" t="n">
        <x:v>534.34254</x:v>
      </x:c>
      <x:c r="I7" s="11" t="n">
        <x:v>0.54478</x:v>
      </x:c>
    </x:row>
    <x:row r="8" ht="22" customHeight="1">
      <x:c r="A8" s="1" t="n">
        <x:v>2</x:v>
      </x:c>
      <x:c r="B8" s="1" t="str">
        <x:v>organic search</x:v>
      </x:c>
      <x:c r="C8" s="18" t="n">
        <x:v>2296</x:v>
      </x:c>
      <x:c r="D8" s="18" t="n">
        <x:v>217</x:v>
      </x:c>
      <x:c r="E8" s="11" t="n">
        <x:v>0.09451</x:v>
      </x:c>
      <x:c r="F8" s="18" t="n">
        <x:v>200</x:v>
      </x:c>
      <x:c r="G8" s="13" t="n">
        <x:v>89822.67</x:v>
      </x:c>
      <x:c r="H8" s="13" t="n">
        <x:v>449.11335</x:v>
      </x:c>
      <x:c r="I8" s="11" t="n">
        <x:v>0.4</x:v>
      </x:c>
    </x:row>
    <x:row r="9" ht="22" customHeight="1">
      <x:c r="A9" s="1" t="n">
        <x:v>3</x:v>
      </x:c>
      <x:c r="B9" s="1" t="str">
        <x:v>social</x:v>
      </x:c>
      <x:c r="C9" s="18" t="n">
        <x:v>1350</x:v>
      </x:c>
      <x:c r="D9" s="18" t="n">
        <x:v>58</x:v>
      </x:c>
      <x:c r="E9" s="11" t="n">
        <x:v>0.04296</x:v>
      </x:c>
      <x:c r="F9" s="18" t="n">
        <x:v>51</x:v>
      </x:c>
      <x:c r="G9" s="13" t="n">
        <x:v>12668.22</x:v>
      </x:c>
      <x:c r="H9" s="13" t="n">
        <x:v>248.39647</x:v>
      </x:c>
      <x:c r="I9" s="11" t="n">
        <x:v>0.45098</x:v>
      </x:c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2" customHeight="1">
      <x:c r="A12" s="20" t="str">
        <x:v>Marketing qualified leads and closed deals:</x:v>
      </x:c>
      <x:c r="B12" s="1"/>
      <x:c r="C12" s="1"/>
      <x:c r="D12" s="1"/>
      <x:c r="E12" s="1"/>
      <x:c r="F12" s="1"/>
      <x:c r="G12" s="1"/>
      <x:c r="H12" s="1"/>
      <x:c r="I12" s="1"/>
    </x:row>
    <x:row r="13" ht="22" customHeight="1">
      <x:c r="A13" s="20" t="str">
        <x:v>https://www.kaggle.com/datasets/olistbr/marketing-funnel-olist</x:v>
      </x:c>
      <x:c r="B13" s="1"/>
      <x:c r="C13" s="1"/>
      <x:c r="D13" s="1"/>
      <x:c r="E13" s="1"/>
      <x:c r="F13" s="1"/>
      <x:c r="G13" s="1"/>
      <x:c r="H13" s="1"/>
      <x:c r="I13" s="1"/>
    </x:row>
    <x:row r="14" ht="22" customHeight="1">
      <x:c r="A14" s="20"/>
      <x:c r="B14" s="1"/>
      <x:c r="C14" s="1"/>
      <x:c r="D14" s="1"/>
      <x:c r="E14" s="1"/>
      <x:c r="F14" s="1"/>
      <x:c r="G14" s="1"/>
      <x:c r="H14" s="1"/>
      <x:c r="I14" s="1"/>
    </x:row>
    <x:row r="15" ht="22" customHeight="1">
      <x:c r="A15" s="20" t="str">
        <x:v>Delivered item prices and order dates:</x:v>
      </x:c>
      <x:c r="B15" s="1"/>
      <x:c r="C15" s="1"/>
      <x:c r="D15" s="1"/>
      <x:c r="E15" s="1"/>
      <x:c r="F15" s="1"/>
      <x:c r="G15" s="1"/>
      <x:c r="H15" s="1"/>
      <x:c r="I15" s="1"/>
    </x:row>
    <x:row r="16" ht="22" customHeight="1">
      <x:c r="A16" s="20" t="str">
        <x:v>https://www.kaggle.com/datasets/olistbr/brazilian-ecommerce</x:v>
      </x:c>
      <x:c r="B16" s="1"/>
      <x:c r="C16" s="1"/>
      <x:c r="D16" s="1"/>
      <x:c r="E16" s="1"/>
      <x:c r="F16" s="1"/>
      <x:c r="G16" s="1"/>
      <x:c r="H16" s="1"/>
      <x:c r="I16" s="1"/>
    </x:row>
    <x:row r="17" ht="22" customHeight="1">
      <x:c r="A17" s="20"/>
      <x:c r="B17" s="1"/>
      <x:c r="C17" s="1"/>
      <x:c r="D17" s="1"/>
      <x:c r="E17" s="1"/>
      <x:c r="F17" s="1"/>
      <x:c r="G17" s="1"/>
      <x:c r="H17" s="1"/>
      <x:c r="I17" s="1"/>
    </x:row>
    <x:row r="18" ht="22" customHeight="1">
      <x:c r="A18" s="20"/>
      <x:c r="B18" s="1"/>
      <x:c r="C18" s="1"/>
      <x:c r="D18" s="1"/>
      <x:c r="E18" s="1"/>
      <x:c r="F18" s="1"/>
      <x:c r="G18" s="1"/>
      <x:c r="H18" s="1"/>
      <x:c r="I18" s="1"/>
    </x:row>
    <x:row r="19" ht="22" customHeight="1">
      <x:c r="A19" s="20" t="str">
        <x:v>Definitions</x:v>
      </x:c>
      <x:c r="B19" s="1"/>
      <x:c r="C19" s="1"/>
      <x:c r="D19" s="1"/>
      <x:c r="E19" s="1"/>
      <x:c r="F19" s="1"/>
      <x:c r="G19" s="1"/>
      <x:c r="H19" s="1"/>
      <x:c r="I19" s="1"/>
    </x:row>
    <x:row r="20" ht="22" customHeight="1">
      <x:c r="A20" s="20" t="str">
        <x:v>Lead conversion: wins within 90 days / eligible marketing-qualified leads.</x:v>
      </x:c>
      <x:c r="B20" s="1"/>
      <x:c r="C20" s="1"/>
      <x:c r="D20" s="1"/>
      <x:c r="E20" s="1"/>
      <x:c r="F20" s="1"/>
      <x:c r="G20" s="1"/>
      <x:c r="H20" s="1"/>
      <x:c r="I20" s="1"/>
    </x:row>
    <x:row r="21" ht="22" customHeight="1">
      <x:c r="A21" s="20" t="str">
        <x:v>Matured wins: closed within 90 days of lead contact, by 2 June 2018.</x:v>
      </x:c>
      <x:c r="B21" s="1"/>
      <x:c r="C21" s="1"/>
      <x:c r="D21" s="1"/>
      <x:c r="E21" s="1"/>
      <x:c r="F21" s="1"/>
      <x:c r="G21" s="1"/>
      <x:c r="H21" s="1"/>
      <x:c r="I21" s="1"/>
    </x:row>
    <x:row r="22" ht="22" customHeight="1">
      <x:c r="A22" s="20" t="str">
        <x:v>Recorded GMV: delivered item price after win, before 31 August 2018.</x:v>
      </x:c>
      <x:c r="B22" s="1"/>
      <x:c r="C22" s="1"/>
      <x:c r="D22" s="1"/>
      <x:c r="E22" s="1"/>
      <x:c r="F22" s="1"/>
      <x:c r="G22" s="1"/>
      <x:c r="H22" s="1"/>
      <x:c r="I22" s="1"/>
    </x:row>
    <x:row r="23" ht="22" customHeight="1">
      <x:c r="A23" s="20" t="str">
        <x:v>Zero observed orders does not prove a seller made no other sales.</x:v>
      </x:c>
      <x:c r="B23" s="1"/>
      <x:c r="C23" s="1"/>
      <x:c r="D23" s="1"/>
      <x:c r="E23" s="1"/>
      <x:c r="F23" s="1"/>
      <x:c r="G23" s="1"/>
      <x:c r="H23" s="1"/>
      <x:c r="I23" s="1"/>
    </x:row>
    <x:row r="24" ht="22" customHeight="1">
      <x:c r="A24" s="20"/>
      <x:c r="B24" s="1"/>
      <x:c r="C24" s="1"/>
      <x:c r="D24" s="1"/>
      <x:c r="E24" s="1"/>
      <x:c r="F24" s="1"/>
      <x:c r="G24" s="1"/>
      <x:c r="H24" s="1"/>
      <x:c r="I24" s="1"/>
    </x:row>
    <x:row r="25" ht="22" customHeight="1">
      <x:c r="A25" s="20" t="str">
        <x:v>Sales-order extract has only 20 later orders, excluded from seller comparison.</x:v>
      </x:c>
      <x:c r="B25" s="1"/>
      <x:c r="C25" s="1"/>
      <x:c r="D25" s="1"/>
      <x:c r="E25" s="1"/>
      <x:c r="F25" s="1"/>
      <x:c r="G25" s="1"/>
      <x:c r="H25" s="1"/>
      <x:c r="I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